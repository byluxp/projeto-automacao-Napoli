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Planilha1!$A$1:$C$79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<sst xmlns="http://schemas.openxmlformats.org/spreadsheetml/2006/main" count="164" uniqueCount="101">
  <si>
    <t xml:space="preserve">Cod</t>
  </si>
  <si>
    <t xml:space="preserve">Item</t>
  </si>
  <si>
    <t xml:space="preserve">SERVICOES PRELIMINARES</t>
  </si>
  <si>
    <t xml:space="preserve">Unidade</t>
  </si>
  <si>
    <t xml:space="preserve">Quantidade</t>
  </si>
  <si>
    <t xml:space="preserve">MOBILIZACAO</t>
  </si>
  <si>
    <t xml:space="preserve">VB</t>
  </si>
  <si>
    <t xml:space="preserve">ANOTAÇÃO  RESPONSABILIDADE TECNICA</t>
  </si>
  <si>
    <t xml:space="preserve">CANTEIRO  DE  OBRAS</t>
  </si>
  <si>
    <t xml:space="preserve">TAPUME TELHA TRAPEZOIDAL  H= 2,0 M</t>
  </si>
  <si>
    <t xml:space="preserve">M2</t>
  </si>
  <si>
    <t xml:space="preserve">PROJETO ESTRUTURAL</t>
  </si>
  <si>
    <t xml:space="preserve">PROJETO ELETRICO</t>
  </si>
  <si>
    <t xml:space="preserve">LOCAÇÃO DA OBRA</t>
  </si>
  <si>
    <t xml:space="preserve">MONTAGEM E DESMONTAGEM DE ANDAIME</t>
  </si>
  <si>
    <t xml:space="preserve">DESMOBILIZACAO</t>
  </si>
  <si>
    <t xml:space="preserve">DEMOLIÇOES E REMOÇÕES</t>
  </si>
  <si>
    <t xml:space="preserve">CORTE  SERRA CLIPPER</t>
  </si>
  <si>
    <t xml:space="preserve">ML</t>
  </si>
  <si>
    <t xml:space="preserve">DEMOLICAO PASSEIO</t>
  </si>
  <si>
    <t xml:space="preserve">M3</t>
  </si>
  <si>
    <t xml:space="preserve">DEMOLIÇÃO ALVENARIA</t>
  </si>
  <si>
    <t xml:space="preserve">REMOCAO  ESQUADRIAS</t>
  </si>
  <si>
    <t xml:space="preserve">BOTA FORA</t>
  </si>
  <si>
    <t xml:space="preserve">INFRAESTRUTURA</t>
  </si>
  <si>
    <t xml:space="preserve">ESCAVACAO  MANUAL TUBULÃO </t>
  </si>
  <si>
    <t xml:space="preserve">EXECUÇÃO  TUBO CAMISA</t>
  </si>
  <si>
    <t xml:space="preserve">UNID</t>
  </si>
  <si>
    <t xml:space="preserve">ESCAVAÇÃO MANUAL  CINTAS E BLOCOS</t>
  </si>
  <si>
    <t xml:space="preserve">ACERTO E REGULARIZAÇÃO</t>
  </si>
  <si>
    <t xml:space="preserve">CONCRETO  MAGRO</t>
  </si>
  <si>
    <t xml:space="preserve">FORMA  CINTAS  E BLOCOS</t>
  </si>
  <si>
    <t xml:space="preserve">AÇO  CA 50/60</t>
  </si>
  <si>
    <t xml:space="preserve">KG</t>
  </si>
  <si>
    <t xml:space="preserve">CONCRETO  FCK 30.0 MPA </t>
  </si>
  <si>
    <t xml:space="preserve">REATERRO  COMPACTADO</t>
  </si>
  <si>
    <t xml:space="preserve">SPERESTRUTURA</t>
  </si>
  <si>
    <t xml:space="preserve">ESTRUTURA METALICA  </t>
  </si>
  <si>
    <t xml:space="preserve">LAJE STEEL DECK</t>
  </si>
  <si>
    <t xml:space="preserve">TELA SOLDADA  Q 196</t>
  </si>
  <si>
    <t xml:space="preserve">CONCRETO  FCK  MPA </t>
  </si>
  <si>
    <t xml:space="preserve">ACABAMENTO  NIVEL ZERO</t>
  </si>
  <si>
    <t xml:space="preserve">ALVENARIAS E REVESTIMENTOS</t>
  </si>
  <si>
    <t xml:space="preserve">ALVENARIA TIJOLO FURADO  E = 10 CM</t>
  </si>
  <si>
    <t xml:space="preserve">ALVENARIA TIJOLO FURADO  E = 15 CM</t>
  </si>
  <si>
    <t xml:space="preserve">FIXACAO ESPERAS  </t>
  </si>
  <si>
    <t xml:space="preserve">CHAPISCO</t>
  </si>
  <si>
    <t xml:space="preserve">EMBOÇO  /REBOCO</t>
  </si>
  <si>
    <t xml:space="preserve">ASSENTAMENTO PASTILHA  </t>
  </si>
  <si>
    <t xml:space="preserve">PISOS</t>
  </si>
  <si>
    <t xml:space="preserve">ACERTO  E REGULARIZACAO</t>
  </si>
  <si>
    <t xml:space="preserve">LONA 200MICRAS</t>
  </si>
  <si>
    <t xml:space="preserve">TELA SOLDADA  Q196</t>
  </si>
  <si>
    <t xml:space="preserve">CONTRAPISOS</t>
  </si>
  <si>
    <t xml:space="preserve">PISO PORCELANATO BIANCOGRES  60 X60 </t>
  </si>
  <si>
    <t xml:space="preserve">INSTALAÇÕES </t>
  </si>
  <si>
    <t xml:space="preserve">INSTALACOES HIDRAULICAS</t>
  </si>
  <si>
    <t xml:space="preserve">INSTALAÇÕES  ELETRICAS  </t>
  </si>
  <si>
    <t xml:space="preserve">INSTALAÇÕES COMBATE INCENDIO </t>
  </si>
  <si>
    <t xml:space="preserve">COBERTURA</t>
  </si>
  <si>
    <t xml:space="preserve">COBERTURA TELHA TRAPEZOIDAL PRE PINTADA UM FACE COR BRANCA</t>
  </si>
  <si>
    <t xml:space="preserve">CALHA  CHAPA GALVANIZADA 22 PRE PINTADA COR  BRANCO   #24 DESENV 75 CM</t>
  </si>
  <si>
    <t xml:space="preserve">RUFO CHAPA GALVANIZADA  PRE PINTADA NA COR  BRANCA #24 DESENV. 35 CM</t>
  </si>
  <si>
    <t xml:space="preserve">CHAPIM CHAPA GALVANIZADA PRE PINTADA NA COR BRANCO  #22 DESENVOLVIMENTO 25 CM</t>
  </si>
  <si>
    <t xml:space="preserve">FORRO</t>
  </si>
  <si>
    <t xml:space="preserve">FORRO  REMOVIVEL POLARIS</t>
  </si>
  <si>
    <t xml:space="preserve">ALCAPÃO (0,625 X 0,625)</t>
  </si>
  <si>
    <t xml:space="preserve">ESQUADRIAS</t>
  </si>
  <si>
    <t xml:space="preserve">ADEQUAÇÃO ESQUADRIA  ALUMINIO ANODIZADO  PRETO ( PELE DE VIDRO) </t>
  </si>
  <si>
    <t xml:space="preserve">FORNECIMENTO E INSTALAÇÃO DE  PORTA EM ALUMINIO  ANODIZADO PRETO TIPO  PELE DE VIDRO (2,00 X 3,40) DE CORRER DUAS FOLHAS</t>
  </si>
  <si>
    <t xml:space="preserve">FORNECIMENTO E INSTALAÇÃO DE  PORTA EM ALUMINIO  ANODIZADO PRETO TIPO  PELE DE VIDRO (1,50 X 3,40) DE CORRER DUAS FOLHAS</t>
  </si>
  <si>
    <t xml:space="preserve">CH1694</t>
  </si>
  <si>
    <t xml:space="preserve">FORNECIMENTO E INSTALAÇÃO DE  PORTA EM ALUMINIO  ANODIZADO PRETO TIPO  PELE DE VIDRO (2,00 X 2,45) DE CORRER DUAS FOLHAS</t>
  </si>
  <si>
    <t xml:space="preserve">CH1695</t>
  </si>
  <si>
    <t xml:space="preserve">FORNECIMENTO E INSTALAÇÃO DE  JANELA EM ALUMINIO  ANODIZADO PRETO TIPO  PELE DE VIDRO (2,00 X 1,45) MAXIMO AR</t>
  </si>
  <si>
    <t xml:space="preserve">CH1506</t>
  </si>
  <si>
    <t xml:space="preserve">FORNECIMENTO E INSTALAÇÃO DE  PORTA EM ALUMINIO  ANODIZADO PRETO TIPO  PELE DE VIDRO (2,00 X 2,40) DE CORRER DUAS FOLHAS</t>
  </si>
  <si>
    <t xml:space="preserve">CH1515</t>
  </si>
  <si>
    <t xml:space="preserve">FORNECIMENTO E INSTALAÇÃO DE  JANELA EM ALUMINIO  ANODIZADO PRETO TIPO  PELE DE VIDRO (2,00 X 1,40) DE CORRER DUAS FOLHAS</t>
  </si>
  <si>
    <t xml:space="preserve">CH1810</t>
  </si>
  <si>
    <t xml:space="preserve">FORNECIMENTO E INSTALAÇÃO DE  PORTA EM ALUMINIO  ANODIZADO PRETO TIPO  PELE DE VIDRO (2,00 X 2,50) DE CORRER DUAS FOLHAS</t>
  </si>
  <si>
    <t xml:space="preserve">CH1809</t>
  </si>
  <si>
    <t xml:space="preserve">FORNECIMENTO E INSTALAÇÃO DE  JANELA EM ALUMINIO  ANODIZADO PRETO TIPO  PELE DE VIDRO (2,00 X 1,50) DE CORRER DUAS FOLHAS</t>
  </si>
  <si>
    <t xml:space="preserve">CH1690</t>
  </si>
  <si>
    <t xml:space="preserve">FORNECIMENTO E INSTALAÇÃO DE  PORTA EM ALUMINIO  ANODIZADO PRETO TIPO  VENEZIANA VENTILADA (0,80 X 2,10) DE ABRIR UMA FOLHA</t>
  </si>
  <si>
    <t xml:space="preserve">CJ0464</t>
  </si>
  <si>
    <t xml:space="preserve">FORNECIMENTO E INSTALAÇÃO DE VENEZIANA  ALUMINIO  ANODIZADO PRETO   </t>
  </si>
  <si>
    <t xml:space="preserve">CX0361</t>
  </si>
  <si>
    <t xml:space="preserve">GRANITO</t>
  </si>
  <si>
    <t xml:space="preserve">PEITORIL GRANITO  PRETO SÃO  GABRIEL </t>
  </si>
  <si>
    <t xml:space="preserve">CI3189</t>
  </si>
  <si>
    <t xml:space="preserve">SOLEIRA GRANITO PRETO  SÃO GABRIEL </t>
  </si>
  <si>
    <t xml:space="preserve">CI7023</t>
  </si>
  <si>
    <t xml:space="preserve">RODAPE H= 10 CM EM GRANITO  SÃO GABRIEL</t>
  </si>
  <si>
    <t xml:space="preserve">CI1511</t>
  </si>
  <si>
    <t xml:space="preserve">LIMPEZA</t>
  </si>
  <si>
    <t xml:space="preserve">LIMPEZA DIARIA</t>
  </si>
  <si>
    <t xml:space="preserve">DIA </t>
  </si>
  <si>
    <t xml:space="preserve">CA0446</t>
  </si>
  <si>
    <t xml:space="preserve">LIMPEZA FINAL</t>
  </si>
  <si>
    <t xml:space="preserve">CA0409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</si>
</sst>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7.96"/>
    <col collapsed="false" customWidth="true" hidden="false" outlineLevel="0" max="3" min="3" style="2" width="37.14"/>
    <col collapsed="false" customWidth="true" hidden="false" outlineLevel="0" max="5" min="5" style="3" width="9.57"/>
  </cols>
  <sheetData>
    <row r="1" customFormat="false" ht="16.4" hidden="false" customHeight="fals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3" t="s">
        <v>4</v>
      </c>
    </row>
    <row r="2" customFormat="false" ht="16.4" hidden="false" customHeight="false" outlineLevel="0" collapsed="false">
      <c r="C2" s="2" t="s">
        <v>5</v>
      </c>
      <c r="D2" s="6" t="s">
        <v>6</v>
      </c>
      <c r="E2" s="3" t="n">
        <v>1</v>
      </c>
    </row>
    <row r="3" customFormat="false" ht="16.4" hidden="false" customHeight="false" outlineLevel="0" collapsed="false">
      <c r="C3" s="2" t="s">
        <v>7</v>
      </c>
      <c r="D3" s="6" t="s">
        <v>6</v>
      </c>
      <c r="E3" s="3" t="n">
        <v>1</v>
      </c>
    </row>
    <row r="4" customFormat="false" ht="16.4" hidden="false" customHeight="false" outlineLevel="0" collapsed="false">
      <c r="C4" s="2" t="s">
        <v>8</v>
      </c>
      <c r="D4" s="6" t="s">
        <v>6</v>
      </c>
      <c r="E4" s="3" t="n">
        <v>1</v>
      </c>
    </row>
    <row r="5" customFormat="false" ht="16.4" hidden="false" customHeight="false" outlineLevel="0" collapsed="false">
      <c r="C5" s="2" t="s">
        <v>9</v>
      </c>
      <c r="D5" s="6" t="s">
        <v>10</v>
      </c>
      <c r="E5" s="3" t="n">
        <f aca="false">(4.41+3+1.2+1.2+1.2+1)*2</f>
        <v>24.02</v>
      </c>
    </row>
    <row r="6" customFormat="false" ht="16.4" hidden="false" customHeight="false" outlineLevel="0" collapsed="false">
      <c r="C6" s="5" t="s">
        <v>11</v>
      </c>
      <c r="D6" s="6" t="s">
        <v>6</v>
      </c>
      <c r="E6" s="3" t="n">
        <v>1</v>
      </c>
    </row>
    <row r="7" customFormat="false" ht="16.4" hidden="false" customHeight="false" outlineLevel="0" collapsed="false">
      <c r="C7" s="2" t="s">
        <v>12</v>
      </c>
      <c r="D7" s="6" t="s">
        <v>6</v>
      </c>
      <c r="E7" s="3" t="n">
        <v>1</v>
      </c>
    </row>
    <row r="8" customFormat="false" ht="16.4" hidden="false" customHeight="false" outlineLevel="0" collapsed="false">
      <c r="C8" s="2" t="s">
        <v>13</v>
      </c>
      <c r="D8" s="6" t="s">
        <v>10</v>
      </c>
      <c r="E8" s="3" t="n">
        <f aca="false">4.41*3</f>
        <v>13.23</v>
      </c>
    </row>
    <row r="9" customFormat="false" ht="31.3" hidden="false" customHeight="false" outlineLevel="0" collapsed="false">
      <c r="C9" s="2" t="s">
        <v>14</v>
      </c>
      <c r="D9" s="6" t="s">
        <v>10</v>
      </c>
      <c r="E9" s="3" t="n">
        <f aca="false">(4.41+1+1+3+3)*19.5</f>
        <v>241.995</v>
      </c>
    </row>
    <row r="10" customFormat="false" ht="16.4" hidden="false" customHeight="false" outlineLevel="0" collapsed="false">
      <c r="C10" s="2" t="s">
        <v>15</v>
      </c>
      <c r="D10" s="6" t="s">
        <v>6</v>
      </c>
      <c r="E10" s="3" t="n">
        <v>1</v>
      </c>
    </row>
    <row r="11" customFormat="false" ht="16.4" hidden="false" customHeight="false" outlineLevel="0" collapsed="false">
      <c r="C11" s="2" t="s">
        <v>16</v>
      </c>
    </row>
    <row r="12" customFormat="false" ht="16.4" hidden="false" customHeight="false" outlineLevel="0" collapsed="false">
      <c r="C12" s="2" t="s">
        <v>17</v>
      </c>
      <c r="D12" s="6" t="s">
        <v>18</v>
      </c>
      <c r="E12" s="3" t="n">
        <f aca="false">4.41+3</f>
        <v>7.41</v>
      </c>
    </row>
    <row r="13" customFormat="false" ht="16.4" hidden="false" customHeight="false" outlineLevel="0" collapsed="false">
      <c r="C13" s="2" t="s">
        <v>19</v>
      </c>
      <c r="D13" s="6" t="s">
        <v>20</v>
      </c>
      <c r="E13" s="3" t="n">
        <f aca="false">4.41*3*0.1</f>
        <v>1.323</v>
      </c>
    </row>
    <row r="14" customFormat="false" ht="16.4" hidden="false" customHeight="false" outlineLevel="0" collapsed="false">
      <c r="C14" s="2" t="s">
        <v>21</v>
      </c>
      <c r="D14" s="6" t="s">
        <v>20</v>
      </c>
      <c r="E14" s="3" t="n">
        <f aca="false">(2*3.4+2*2.45+2*2.4+2*2.5)*0.2</f>
        <v>4.3</v>
      </c>
    </row>
    <row r="15" customFormat="false" ht="16.4" hidden="false" customHeight="false" outlineLevel="0" collapsed="false">
      <c r="C15" s="2" t="s">
        <v>22</v>
      </c>
      <c r="D15" s="6" t="s">
        <v>10</v>
      </c>
      <c r="E15" s="3" t="n">
        <f aca="false">4.41*(1.45+1.4+1.5)</f>
        <v>19.1835</v>
      </c>
    </row>
    <row r="16" customFormat="false" ht="16.4" hidden="false" customHeight="false" outlineLevel="0" collapsed="false">
      <c r="C16" s="2" t="s">
        <v>23</v>
      </c>
      <c r="D16" s="6" t="s">
        <v>20</v>
      </c>
      <c r="E16" s="3" t="n">
        <v>10</v>
      </c>
    </row>
    <row r="17" customFormat="false" ht="16.4" hidden="false" customHeight="false" outlineLevel="0" collapsed="false">
      <c r="C17" s="2" t="s">
        <v>24</v>
      </c>
    </row>
    <row r="18" customFormat="false" ht="16.4" hidden="false" customHeight="false" outlineLevel="0" collapsed="false">
      <c r="C18" s="2" t="s">
        <v>25</v>
      </c>
      <c r="D18" s="6" t="s">
        <v>20</v>
      </c>
      <c r="E18" s="3" t="n">
        <f aca="false">(3.141516*0.9*0.9/4)*6*5</f>
        <v>19.0847097</v>
      </c>
    </row>
    <row r="19" customFormat="false" ht="16.4" hidden="false" customHeight="false" outlineLevel="0" collapsed="false">
      <c r="C19" s="2" t="s">
        <v>26</v>
      </c>
      <c r="D19" s="6" t="s">
        <v>27</v>
      </c>
      <c r="E19" s="3" t="n">
        <v>6</v>
      </c>
    </row>
    <row r="20" customFormat="false" ht="16.4" hidden="false" customHeight="false" outlineLevel="0" collapsed="false">
      <c r="C20" s="2" t="s">
        <v>28</v>
      </c>
      <c r="D20" s="6" t="s">
        <v>20</v>
      </c>
      <c r="E20" s="3" t="n">
        <v>14.75</v>
      </c>
    </row>
    <row r="21" customFormat="false" ht="16.4" hidden="false" customHeight="false" outlineLevel="0" collapsed="false">
      <c r="C21" s="2" t="s">
        <v>29</v>
      </c>
      <c r="D21" s="6" t="s">
        <v>10</v>
      </c>
      <c r="E21" s="3" t="n">
        <v>9.62</v>
      </c>
    </row>
    <row r="22" customFormat="false" ht="16.4" hidden="false" customHeight="false" outlineLevel="0" collapsed="false">
      <c r="C22" s="2" t="s">
        <v>30</v>
      </c>
      <c r="D22" s="6" t="s">
        <v>20</v>
      </c>
      <c r="E22" s="3" t="n">
        <v>0.48</v>
      </c>
    </row>
    <row r="23" customFormat="false" ht="16.4" hidden="false" customHeight="false" outlineLevel="0" collapsed="false">
      <c r="C23" s="2" t="s">
        <v>31</v>
      </c>
      <c r="D23" s="6" t="s">
        <v>10</v>
      </c>
      <c r="E23" s="3" t="n">
        <v>45</v>
      </c>
    </row>
    <row r="24" customFormat="false" ht="16.4" hidden="false" customHeight="false" outlineLevel="0" collapsed="false">
      <c r="C24" s="2" t="s">
        <v>32</v>
      </c>
      <c r="D24" s="6" t="s">
        <v>33</v>
      </c>
      <c r="E24" s="3" t="n">
        <v>440</v>
      </c>
    </row>
    <row r="25" customFormat="false" ht="16.4" hidden="false" customHeight="false" outlineLevel="0" collapsed="false">
      <c r="C25" s="2" t="s">
        <v>34</v>
      </c>
      <c r="D25" s="6" t="s">
        <v>20</v>
      </c>
      <c r="E25" s="3" t="n">
        <v>5.16</v>
      </c>
    </row>
    <row r="26" customFormat="false" ht="16.4" hidden="false" customHeight="false" outlineLevel="0" collapsed="false">
      <c r="C26" s="2" t="s">
        <v>35</v>
      </c>
      <c r="D26" s="6" t="s">
        <v>20</v>
      </c>
      <c r="E26" s="3" t="n">
        <v>7.66</v>
      </c>
    </row>
    <row r="27" customFormat="false" ht="16.4" hidden="false" customHeight="false" outlineLevel="0" collapsed="false">
      <c r="C27" s="2" t="s">
        <v>23</v>
      </c>
      <c r="D27" s="6" t="s">
        <v>20</v>
      </c>
      <c r="E27" s="3" t="n">
        <v>10</v>
      </c>
    </row>
    <row r="28" customFormat="false" ht="16.4" hidden="false" customHeight="false" outlineLevel="0" collapsed="false">
      <c r="C28" s="2" t="s">
        <v>36</v>
      </c>
    </row>
    <row r="29" customFormat="false" ht="16.4" hidden="false" customHeight="false" outlineLevel="0" collapsed="false">
      <c r="C29" s="2" t="s">
        <v>37</v>
      </c>
      <c r="D29" s="6" t="s">
        <v>6</v>
      </c>
      <c r="E29" s="3" t="n">
        <v>1</v>
      </c>
    </row>
    <row r="30" customFormat="false" ht="16.4" hidden="false" customHeight="false" outlineLevel="0" collapsed="false">
      <c r="C30" s="2" t="s">
        <v>38</v>
      </c>
      <c r="D30" s="6" t="s">
        <v>10</v>
      </c>
      <c r="E30" s="3" t="n">
        <v>40</v>
      </c>
    </row>
    <row r="31" customFormat="false" ht="16.4" hidden="false" customHeight="false" outlineLevel="0" collapsed="false">
      <c r="C31" s="2" t="s">
        <v>39</v>
      </c>
      <c r="D31" s="6" t="s">
        <v>10</v>
      </c>
      <c r="E31" s="3" t="n">
        <v>40</v>
      </c>
    </row>
    <row r="32" customFormat="false" ht="16.4" hidden="false" customHeight="false" outlineLevel="0" collapsed="false">
      <c r="C32" s="2" t="s">
        <v>40</v>
      </c>
      <c r="D32" s="6" t="s">
        <v>20</v>
      </c>
      <c r="E32" s="3" t="n">
        <f aca="false">40*0.135</f>
        <v>5.4</v>
      </c>
    </row>
    <row r="33" customFormat="false" ht="16.4" hidden="false" customHeight="false" outlineLevel="0" collapsed="false">
      <c r="C33" s="2" t="s">
        <v>41</v>
      </c>
      <c r="D33" s="6" t="s">
        <v>10</v>
      </c>
      <c r="E33" s="3" t="n">
        <v>40</v>
      </c>
    </row>
    <row r="34" customFormat="false" ht="16.4" hidden="false" customHeight="false" outlineLevel="0" collapsed="false">
      <c r="C34" s="2" t="s">
        <v>42</v>
      </c>
    </row>
    <row r="35" customFormat="false" ht="16.4" hidden="false" customHeight="false" outlineLevel="0" collapsed="false">
      <c r="C35" s="2" t="s">
        <v>43</v>
      </c>
      <c r="D35" s="6" t="s">
        <v>10</v>
      </c>
      <c r="E35" s="3" t="n">
        <v>184</v>
      </c>
    </row>
    <row r="36" customFormat="false" ht="16.4" hidden="false" customHeight="false" outlineLevel="0" collapsed="false">
      <c r="C36" s="2" t="s">
        <v>44</v>
      </c>
      <c r="D36" s="6" t="s">
        <v>10</v>
      </c>
      <c r="E36" s="3" t="n">
        <v>99.5</v>
      </c>
    </row>
    <row r="37" customFormat="false" ht="16.4" hidden="false" customHeight="false" outlineLevel="0" collapsed="false">
      <c r="C37" s="2" t="s">
        <v>45</v>
      </c>
      <c r="D37" s="6" t="s">
        <v>27</v>
      </c>
      <c r="E37" s="3" t="n">
        <v>585</v>
      </c>
    </row>
    <row r="38" customFormat="false" ht="16.4" hidden="false" customHeight="false" outlineLevel="0" collapsed="false">
      <c r="C38" s="2" t="s">
        <v>46</v>
      </c>
      <c r="D38" s="6" t="s">
        <v>10</v>
      </c>
      <c r="E38" s="3" t="n">
        <v>510.3</v>
      </c>
    </row>
    <row r="39" customFormat="false" ht="16.4" hidden="false" customHeight="false" outlineLevel="0" collapsed="false">
      <c r="C39" s="2" t="s">
        <v>47</v>
      </c>
      <c r="D39" s="6" t="s">
        <v>10</v>
      </c>
      <c r="E39" s="3" t="n">
        <v>510.3</v>
      </c>
    </row>
    <row r="40" customFormat="false" ht="16.4" hidden="false" customHeight="false" outlineLevel="0" collapsed="false">
      <c r="C40" s="2" t="s">
        <v>48</v>
      </c>
      <c r="D40" s="6" t="s">
        <v>10</v>
      </c>
      <c r="E40" s="3" t="n">
        <v>161.1</v>
      </c>
    </row>
    <row r="41" customFormat="false" ht="16.4" hidden="false" customHeight="false" outlineLevel="0" collapsed="false">
      <c r="C41" s="2" t="s">
        <v>49</v>
      </c>
    </row>
    <row r="42" customFormat="false" ht="16.4" hidden="false" customHeight="false" outlineLevel="0" collapsed="false">
      <c r="C42" s="2" t="s">
        <v>50</v>
      </c>
      <c r="D42" s="6" t="s">
        <v>10</v>
      </c>
      <c r="E42" s="3" t="n">
        <v>13.23</v>
      </c>
    </row>
    <row r="43" customFormat="false" ht="16.4" hidden="false" customHeight="false" outlineLevel="0" collapsed="false">
      <c r="C43" s="2" t="s">
        <v>51</v>
      </c>
      <c r="D43" s="6" t="s">
        <v>10</v>
      </c>
      <c r="E43" s="3" t="n">
        <v>13.23</v>
      </c>
    </row>
    <row r="44" customFormat="false" ht="16.4" hidden="false" customHeight="false" outlineLevel="0" collapsed="false">
      <c r="C44" s="2" t="s">
        <v>52</v>
      </c>
      <c r="D44" s="6" t="s">
        <v>10</v>
      </c>
      <c r="E44" s="3" t="n">
        <v>13.23</v>
      </c>
    </row>
    <row r="45" customFormat="false" ht="16.4" hidden="false" customHeight="false" outlineLevel="0" collapsed="false">
      <c r="C45" s="2" t="s">
        <v>34</v>
      </c>
      <c r="D45" s="6" t="s">
        <v>20</v>
      </c>
      <c r="E45" s="3" t="n">
        <v>1.32</v>
      </c>
    </row>
    <row r="46" customFormat="false" ht="16.4" hidden="false" customHeight="false" outlineLevel="0" collapsed="false">
      <c r="C46" s="2" t="s">
        <v>41</v>
      </c>
      <c r="D46" s="6" t="s">
        <v>10</v>
      </c>
      <c r="E46" s="3" t="n">
        <v>13.23</v>
      </c>
    </row>
    <row r="47" customFormat="false" ht="16.4" hidden="false" customHeight="false" outlineLevel="0" collapsed="false">
      <c r="C47" s="2" t="s">
        <v>53</v>
      </c>
      <c r="D47" s="6" t="s">
        <v>10</v>
      </c>
      <c r="E47" s="3" t="n">
        <v>33.27</v>
      </c>
    </row>
    <row r="48" customFormat="false" ht="16.4" hidden="false" customHeight="false" outlineLevel="0" collapsed="false">
      <c r="C48" s="2" t="s">
        <v>54</v>
      </c>
      <c r="D48" s="6" t="s">
        <v>10</v>
      </c>
      <c r="E48" s="3" t="n">
        <v>33.27</v>
      </c>
    </row>
    <row r="49" customFormat="false" ht="16.4" hidden="false" customHeight="false" outlineLevel="0" collapsed="false">
      <c r="C49" s="2" t="s">
        <v>55</v>
      </c>
    </row>
    <row r="50" customFormat="false" ht="16.4" hidden="false" customHeight="false" outlineLevel="0" collapsed="false">
      <c r="C50" s="2" t="s">
        <v>56</v>
      </c>
      <c r="D50" s="6" t="s">
        <v>6</v>
      </c>
      <c r="E50" s="3" t="n">
        <v>1</v>
      </c>
    </row>
    <row r="51" customFormat="false" ht="16.4" hidden="false" customHeight="false" outlineLevel="0" collapsed="false">
      <c r="C51" s="2" t="s">
        <v>57</v>
      </c>
      <c r="D51" s="6" t="s">
        <v>6</v>
      </c>
      <c r="E51" s="3" t="n">
        <v>1</v>
      </c>
    </row>
    <row r="52" customFormat="false" ht="16.4" hidden="false" customHeight="false" outlineLevel="0" collapsed="false">
      <c r="C52" s="2" t="s">
        <v>58</v>
      </c>
      <c r="D52" s="6" t="s">
        <v>6</v>
      </c>
      <c r="E52" s="3" t="n">
        <v>1</v>
      </c>
    </row>
    <row r="53" customFormat="false" ht="16.4" hidden="false" customHeight="false" outlineLevel="0" collapsed="false">
      <c r="C53" s="2" t="s">
        <v>59</v>
      </c>
    </row>
    <row r="54" customFormat="false" ht="31.3" hidden="false" customHeight="false" outlineLevel="0" collapsed="false">
      <c r="C54" s="2" t="s">
        <v>60</v>
      </c>
      <c r="D54" s="6" t="s">
        <v>10</v>
      </c>
      <c r="E54" s="3" t="n">
        <v>13.2</v>
      </c>
    </row>
    <row r="55" customFormat="false" ht="46.25" hidden="false" customHeight="false" outlineLevel="0" collapsed="false">
      <c r="C55" s="2" t="s">
        <v>61</v>
      </c>
      <c r="D55" s="6" t="s">
        <v>18</v>
      </c>
      <c r="E55" s="3" t="n">
        <v>4.5</v>
      </c>
    </row>
    <row r="56" customFormat="false" ht="46.25" hidden="false" customHeight="false" outlineLevel="0" collapsed="false">
      <c r="C56" s="2" t="s">
        <v>62</v>
      </c>
      <c r="D56" s="6" t="s">
        <v>18</v>
      </c>
      <c r="E56" s="3" t="n">
        <v>15</v>
      </c>
    </row>
    <row r="57" customFormat="false" ht="46.25" hidden="false" customHeight="false" outlineLevel="0" collapsed="false">
      <c r="C57" s="2" t="s">
        <v>63</v>
      </c>
      <c r="D57" s="6" t="s">
        <v>18</v>
      </c>
      <c r="E57" s="3" t="n">
        <v>14.82</v>
      </c>
    </row>
    <row r="58" customFormat="false" ht="16.4" hidden="false" customHeight="false" outlineLevel="0" collapsed="false">
      <c r="C58" s="2" t="s">
        <v>64</v>
      </c>
    </row>
    <row r="59" customFormat="false" ht="16.4" hidden="false" customHeight="false" outlineLevel="0" collapsed="false">
      <c r="C59" s="2" t="s">
        <v>65</v>
      </c>
      <c r="D59" s="6" t="s">
        <v>10</v>
      </c>
      <c r="E59" s="3" t="n">
        <v>31.42</v>
      </c>
    </row>
    <row r="60" customFormat="false" ht="16.4" hidden="false" customHeight="false" outlineLevel="0" collapsed="false">
      <c r="C60" s="2" t="s">
        <v>66</v>
      </c>
      <c r="D60" s="6" t="s">
        <v>27</v>
      </c>
      <c r="E60" s="3" t="n">
        <v>1</v>
      </c>
    </row>
    <row r="61" customFormat="false" ht="16.4" hidden="false" customHeight="false" outlineLevel="0" collapsed="false">
      <c r="C61" s="2" t="s">
        <v>67</v>
      </c>
    </row>
    <row r="62" customFormat="false" ht="31.3" hidden="false" customHeight="false" outlineLevel="0" collapsed="false">
      <c r="C62" s="2" t="s">
        <v>68</v>
      </c>
      <c r="D62" s="6" t="s">
        <v>27</v>
      </c>
      <c r="E62" s="3" t="n">
        <v>3</v>
      </c>
    </row>
    <row r="63" customFormat="false" ht="61.15" hidden="false" customHeight="false" outlineLevel="0" collapsed="false">
      <c r="C63" s="2" t="s">
        <v>69</v>
      </c>
      <c r="D63" s="6" t="s">
        <v>27</v>
      </c>
      <c r="E63" s="3" t="n">
        <v>1</v>
      </c>
    </row>
    <row r="64" customFormat="false" ht="61.15" hidden="false" customHeight="false" outlineLevel="0" collapsed="false">
      <c r="C64" s="2" t="s">
        <v>70</v>
      </c>
      <c r="D64" s="6" t="s">
        <v>27</v>
      </c>
      <c r="E64" s="3" t="n">
        <v>1</v>
      </c>
      <c r="F64" s="6" t="s">
        <v>71</v>
      </c>
    </row>
    <row r="65" customFormat="false" ht="61.15" hidden="false" customHeight="false" outlineLevel="0" collapsed="false">
      <c r="C65" s="2" t="s">
        <v>72</v>
      </c>
      <c r="D65" s="6" t="s">
        <v>27</v>
      </c>
      <c r="E65" s="3" t="n">
        <v>1</v>
      </c>
      <c r="F65" s="6" t="s">
        <v>73</v>
      </c>
    </row>
    <row r="66" customFormat="false" ht="61.15" hidden="false" customHeight="false" outlineLevel="0" collapsed="false">
      <c r="C66" s="2" t="s">
        <v>74</v>
      </c>
      <c r="D66" s="6" t="s">
        <v>27</v>
      </c>
      <c r="E66" s="3" t="n">
        <v>1</v>
      </c>
      <c r="F66" s="6" t="s">
        <v>75</v>
      </c>
    </row>
    <row r="67" customFormat="false" ht="61.15" hidden="false" customHeight="false" outlineLevel="0" collapsed="false">
      <c r="C67" s="2" t="s">
        <v>76</v>
      </c>
      <c r="D67" s="6" t="s">
        <v>27</v>
      </c>
      <c r="E67" s="3" t="n">
        <v>1</v>
      </c>
      <c r="F67" s="6" t="s">
        <v>77</v>
      </c>
    </row>
    <row r="68" customFormat="false" ht="61.15" hidden="false" customHeight="false" outlineLevel="0" collapsed="false">
      <c r="C68" s="2" t="s">
        <v>78</v>
      </c>
      <c r="D68" s="6" t="s">
        <v>27</v>
      </c>
      <c r="E68" s="3" t="n">
        <v>1</v>
      </c>
      <c r="F68" s="6" t="s">
        <v>79</v>
      </c>
    </row>
    <row r="69" customFormat="false" ht="61.15" hidden="false" customHeight="false" outlineLevel="0" collapsed="false">
      <c r="C69" s="2" t="s">
        <v>80</v>
      </c>
      <c r="D69" s="6" t="s">
        <v>27</v>
      </c>
      <c r="E69" s="3" t="n">
        <v>1</v>
      </c>
      <c r="F69" s="6" t="s">
        <v>81</v>
      </c>
    </row>
    <row r="70" customFormat="false" ht="61.15" hidden="false" customHeight="false" outlineLevel="0" collapsed="false">
      <c r="C70" s="2" t="s">
        <v>82</v>
      </c>
      <c r="D70" s="6" t="s">
        <v>27</v>
      </c>
      <c r="E70" s="3" t="n">
        <v>1</v>
      </c>
      <c r="F70" s="6" t="s">
        <v>83</v>
      </c>
    </row>
    <row r="71" customFormat="false" ht="61.15" hidden="false" customHeight="false" outlineLevel="0" collapsed="false">
      <c r="C71" s="2" t="s">
        <v>84</v>
      </c>
      <c r="D71" s="6" t="s">
        <v>27</v>
      </c>
      <c r="E71" s="3" t="n">
        <v>5</v>
      </c>
      <c r="F71" s="6" t="s">
        <v>85</v>
      </c>
    </row>
    <row r="72" customFormat="false" ht="46.25" hidden="false" customHeight="false" outlineLevel="0" collapsed="false">
      <c r="C72" s="2" t="s">
        <v>86</v>
      </c>
      <c r="D72" s="6" t="s">
        <v>10</v>
      </c>
      <c r="E72" s="3" t="n">
        <f aca="false">2*(3.75+1.55+1.65+0.2)</f>
        <v>14.3</v>
      </c>
      <c r="F72" s="6" t="s">
        <v>87</v>
      </c>
    </row>
    <row r="73" customFormat="false" ht="16.4" hidden="false" customHeight="false" outlineLevel="0" collapsed="false">
      <c r="C73" s="2" t="s">
        <v>88</v>
      </c>
    </row>
    <row r="74" customFormat="false" ht="16.4" hidden="false" customHeight="false" outlineLevel="0" collapsed="false">
      <c r="C74" s="2" t="s">
        <v>89</v>
      </c>
      <c r="D74" s="6" t="s">
        <v>10</v>
      </c>
      <c r="E74" s="3" t="n">
        <v>1.2</v>
      </c>
      <c r="F74" s="6" t="s">
        <v>90</v>
      </c>
    </row>
    <row r="75" customFormat="false" ht="16.4" hidden="false" customHeight="false" outlineLevel="0" collapsed="false">
      <c r="C75" s="2" t="s">
        <v>91</v>
      </c>
      <c r="D75" s="6" t="s">
        <v>10</v>
      </c>
      <c r="E75" s="3" t="n">
        <v>2.4</v>
      </c>
      <c r="F75" s="6" t="s">
        <v>92</v>
      </c>
    </row>
    <row r="76" customFormat="false" ht="31.3" hidden="false" customHeight="false" outlineLevel="0" collapsed="false">
      <c r="C76" s="2" t="s">
        <v>93</v>
      </c>
      <c r="D76" s="6" t="s">
        <v>18</v>
      </c>
      <c r="E76" s="3" t="n">
        <v>49.1</v>
      </c>
      <c r="F76" s="6" t="s">
        <v>94</v>
      </c>
    </row>
    <row r="77" customFormat="false" ht="16.4" hidden="false" customHeight="false" outlineLevel="0" collapsed="false">
      <c r="C77" s="2" t="s">
        <v>95</v>
      </c>
    </row>
    <row r="78" customFormat="false" ht="16.4" hidden="false" customHeight="false" outlineLevel="0" collapsed="false">
      <c r="C78" s="2" t="s">
        <v>96</v>
      </c>
      <c r="D78" s="6" t="s">
        <v>97</v>
      </c>
      <c r="E78" s="3" t="n">
        <v>120</v>
      </c>
      <c r="F78" s="6" t="s">
        <v>98</v>
      </c>
    </row>
    <row r="79" customFormat="false" ht="16.4" hidden="false" customHeight="false" outlineLevel="0" collapsed="false">
      <c r="C79" s="2" t="s">
        <v>99</v>
      </c>
      <c r="D79" s="6" t="s">
        <v>6</v>
      </c>
      <c r="E79" s="3" t="n">
        <v>1</v>
      </c>
      <c r="F79" s="6" t="s">
        <v>100</v>
      </c>
    </row>
  </sheetData>
  <autoFilter ref="A1:C79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2026-08-11T18:10:27Z</dcterms:created>
  <dc:creator>Wagner Litz</dc:creator>
  <dc:description/>
  <dc:language>pt-BR</dc:language>
  <cp:lastModifiedBy/>
  <dcterms:modified xsi:type="dcterms:W3CDTF">2026-08-20T14:01:50Z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